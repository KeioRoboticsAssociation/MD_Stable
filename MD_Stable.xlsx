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MD_Stable\"/>
    </mc:Choice>
  </mc:AlternateContent>
  <xr:revisionPtr revIDLastSave="0" documentId="13_ncr:9_{F29BE467-DC07-4E4B-AC5E-B66BC14185C8}" xr6:coauthVersionLast="47" xr6:coauthVersionMax="47" xr10:uidLastSave="{00000000-0000-0000-0000-000000000000}"/>
  <bookViews>
    <workbookView xWindow="10718" yWindow="0" windowWidth="10965" windowHeight="12863" xr2:uid="{B5BAE939-6D61-4929-85CC-F09A77816522}"/>
  </bookViews>
  <sheets>
    <sheet name="MD_Stable" sheetId="1" r:id="rId1"/>
  </sheets>
  <calcPr calcId="0"/>
</workbook>
</file>

<file path=xl/calcChain.xml><?xml version="1.0" encoding="utf-8"?>
<calcChain xmlns="http://schemas.openxmlformats.org/spreadsheetml/2006/main">
  <c r="I49" i="1" l="1"/>
  <c r="I8" i="1"/>
  <c r="I10" i="1"/>
  <c r="I4" i="1"/>
  <c r="I5" i="1"/>
  <c r="I6" i="1"/>
  <c r="I7" i="1"/>
  <c r="I9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3" i="1"/>
</calcChain>
</file>

<file path=xl/sharedStrings.xml><?xml version="1.0" encoding="utf-8"?>
<sst xmlns="http://schemas.openxmlformats.org/spreadsheetml/2006/main" count="203" uniqueCount="138">
  <si>
    <t>C1,C2,C3,C5,C7,C8,C9,C12,C13,C14,C15,C16,C19,C20,C21,C22,C23,C24,C25,C26,C27,C28,C29,C30,C46,C47,C48,C49,C50,C51,C52,C53,C54,C56,C57,C58,C59,C60,C61,C62,C78,C79,C80,C81,C82,C83,C84</t>
  </si>
  <si>
    <t>0.1u</t>
  </si>
  <si>
    <t>C4,C6,C17</t>
  </si>
  <si>
    <t>16V 100u</t>
  </si>
  <si>
    <t>C10,C11</t>
  </si>
  <si>
    <t>50v 100u</t>
  </si>
  <si>
    <t>C18</t>
  </si>
  <si>
    <t>16v 100u</t>
  </si>
  <si>
    <t>C31,C32,C33,C34,C35,C36,C40,C41,C42,C43,C44,C45,C63,C64,C66,C67,C69,C70,C72,C73,C74,C75,C76,C77</t>
  </si>
  <si>
    <t>1u</t>
  </si>
  <si>
    <t>C37,C38,C39,C65,C68,C71</t>
  </si>
  <si>
    <t>0.22u</t>
  </si>
  <si>
    <t>C55</t>
  </si>
  <si>
    <t>0.01u</t>
  </si>
  <si>
    <t>D1,D2,D3,D4,D6,D7,D8,D9,D10,D12,D13,D16,D19,D21,D22,D23,D24,D25,D26,D27,D28,D29,D30,D31,D32,D33,D34,D35,D36,D37,D38,D39,D40,D41,D42,D49,D50,D51,D52,D53,D54,D55,D56,D57,D58,D59,D60,D61,D62,D63,D64,D65,D66,D67,D68,D69,D70,D71,D72,D73,D74,D75</t>
  </si>
  <si>
    <t>1N4148W</t>
  </si>
  <si>
    <t>D5,D11,D14,D15,D17,D18,D20</t>
  </si>
  <si>
    <t>LED</t>
  </si>
  <si>
    <t>D43,D45,D47</t>
  </si>
  <si>
    <t>LED_A</t>
  </si>
  <si>
    <t>D44,D46,D48</t>
  </si>
  <si>
    <t>LED_B</t>
  </si>
  <si>
    <t>F1</t>
  </si>
  <si>
    <t>Polyfuse</t>
  </si>
  <si>
    <t>J1</t>
  </si>
  <si>
    <t>Conn_02x04_Counter_Clockwise</t>
  </si>
  <si>
    <t>J2</t>
  </si>
  <si>
    <t>XT30_Male</t>
  </si>
  <si>
    <t>J3</t>
  </si>
  <si>
    <t>XT60_Male</t>
  </si>
  <si>
    <t>J4</t>
  </si>
  <si>
    <t>RE1</t>
  </si>
  <si>
    <t>J5</t>
  </si>
  <si>
    <t>RE2</t>
  </si>
  <si>
    <t>J6</t>
  </si>
  <si>
    <t>RE3</t>
  </si>
  <si>
    <t>J7</t>
  </si>
  <si>
    <t>MO_XT60_Female1</t>
  </si>
  <si>
    <t>J8</t>
  </si>
  <si>
    <t>MO_XT60_Female2</t>
  </si>
  <si>
    <t>J9</t>
  </si>
  <si>
    <t>MO_XT60_Female3</t>
  </si>
  <si>
    <t>J10</t>
  </si>
  <si>
    <t>Conn_02x06_Odd_Even</t>
  </si>
  <si>
    <t>J11</t>
  </si>
  <si>
    <t>Conn_01x08_Pin</t>
  </si>
  <si>
    <t>J12</t>
  </si>
  <si>
    <t>Conn_01x05_Socket</t>
  </si>
  <si>
    <t>Q1,Q2,Q3,Q4,Q5,Q6,Q7,Q8,Q9,Q10,Q11,Q12</t>
  </si>
  <si>
    <t>TPH4R008QM</t>
  </si>
  <si>
    <t>R1,R2,R3,R4,R5,R6,R7,R8,R9,R12,R15,R16,R18,R19,R20,R22,R23,R24,R25,R26,R27,R28,R29,R42,R75,R76,R77</t>
  </si>
  <si>
    <t>10k</t>
  </si>
  <si>
    <t>R10,R14,R17,R21</t>
  </si>
  <si>
    <t>1k</t>
  </si>
  <si>
    <t>R11,R13,R49,R50,R51</t>
  </si>
  <si>
    <t>24k</t>
  </si>
  <si>
    <t>R30,R31,R32,R33,R34,R35,R43,R44,R45,R46,R47,R48,R57,R58,R59,R60,R61,R62,R69,R70,R71,R72,R73,R74</t>
  </si>
  <si>
    <t>R36,R37,R38,R39,R40,R41,R63,R64,R65,R66,R67,R68</t>
  </si>
  <si>
    <t>47k</t>
  </si>
  <si>
    <t>R52,R53,R54,R78,R79</t>
  </si>
  <si>
    <t>R55,R56</t>
  </si>
  <si>
    <t>R80,R81,R82,R83</t>
  </si>
  <si>
    <t>2.2k</t>
  </si>
  <si>
    <t>SW1,SW2</t>
  </si>
  <si>
    <t>SW_Push</t>
  </si>
  <si>
    <t>SW3,SW4,SW5</t>
  </si>
  <si>
    <t>PWM</t>
  </si>
  <si>
    <t>SW6,SW7,SW8</t>
  </si>
  <si>
    <t>DIR</t>
  </si>
  <si>
    <t>U1</t>
  </si>
  <si>
    <t>NJM7808SDL1</t>
  </si>
  <si>
    <t>U2,U4</t>
  </si>
  <si>
    <t>BA05CC0T縺ｫ莨ｼ縺滉ｽ輔°</t>
  </si>
  <si>
    <t>U3</t>
  </si>
  <si>
    <t>STM32G431K8Tx</t>
  </si>
  <si>
    <t>U5</t>
  </si>
  <si>
    <t>BA033CC0FP</t>
  </si>
  <si>
    <t>U6</t>
  </si>
  <si>
    <t>ﾏ160M60</t>
  </si>
  <si>
    <t>U7,U8,U9</t>
  </si>
  <si>
    <t>74AHC1G04W5</t>
  </si>
  <si>
    <t>U10,U11,U12,U20,U21,U22</t>
  </si>
  <si>
    <t>74AHC1G08W5</t>
  </si>
  <si>
    <t>U13,U14,U15,U17,U18,U19</t>
  </si>
  <si>
    <t>IRS2302S</t>
  </si>
  <si>
    <t>U16</t>
  </si>
  <si>
    <t>NE555D</t>
  </si>
  <si>
    <t>U23,U24</t>
  </si>
  <si>
    <t>UTRS485G-S08-R</t>
  </si>
  <si>
    <t>番号</t>
    <rPh sb="0" eb="2">
      <t>バンゴウ</t>
    </rPh>
    <phoneticPr fontId="18"/>
  </si>
  <si>
    <t>数量</t>
    <rPh sb="0" eb="2">
      <t>スウリョウ</t>
    </rPh>
    <phoneticPr fontId="18"/>
  </si>
  <si>
    <t>リファレンス</t>
    <phoneticPr fontId="18"/>
  </si>
  <si>
    <t>定数</t>
    <rPh sb="0" eb="2">
      <t>テイスウ</t>
    </rPh>
    <phoneticPr fontId="18"/>
  </si>
  <si>
    <t>部品種別</t>
    <rPh sb="0" eb="4">
      <t>ブヒンシュベツ</t>
    </rPh>
    <phoneticPr fontId="18"/>
  </si>
  <si>
    <t>形状</t>
    <rPh sb="0" eb="2">
      <t>ケイジョウ</t>
    </rPh>
    <phoneticPr fontId="18"/>
  </si>
  <si>
    <t>単価</t>
    <rPh sb="0" eb="2">
      <t>タンカ</t>
    </rPh>
    <phoneticPr fontId="18"/>
  </si>
  <si>
    <t>必要分/最小購入数</t>
    <rPh sb="0" eb="2">
      <t>ヒツヨウ</t>
    </rPh>
    <rPh sb="2" eb="3">
      <t>ブン</t>
    </rPh>
    <rPh sb="4" eb="6">
      <t>サイショウ</t>
    </rPh>
    <rPh sb="6" eb="9">
      <t>コウニュウスウ</t>
    </rPh>
    <phoneticPr fontId="18"/>
  </si>
  <si>
    <t>小計</t>
    <rPh sb="0" eb="2">
      <t>ショウケイ</t>
    </rPh>
    <phoneticPr fontId="18"/>
  </si>
  <si>
    <t>調達場所</t>
    <rPh sb="0" eb="4">
      <t>チョウタツバショ</t>
    </rPh>
    <phoneticPr fontId="18"/>
  </si>
  <si>
    <t>備考</t>
    <rPh sb="0" eb="2">
      <t>ビコウ</t>
    </rPh>
    <phoneticPr fontId="18"/>
  </si>
  <si>
    <t>秋月通販コード</t>
    <rPh sb="0" eb="2">
      <t>アキヅキ</t>
    </rPh>
    <rPh sb="2" eb="4">
      <t>ツウハン</t>
    </rPh>
    <phoneticPr fontId="18"/>
  </si>
  <si>
    <t>積セラ</t>
    <rPh sb="0" eb="1">
      <t>セキ</t>
    </rPh>
    <phoneticPr fontId="18"/>
  </si>
  <si>
    <t>アルミ電解</t>
    <rPh sb="3" eb="5">
      <t>デンカイ</t>
    </rPh>
    <phoneticPr fontId="18"/>
  </si>
  <si>
    <t>ショットキーバリアダイオード</t>
    <phoneticPr fontId="18"/>
  </si>
  <si>
    <t>チップLED</t>
    <phoneticPr fontId="18"/>
  </si>
  <si>
    <t>ポリヒューズ</t>
    <phoneticPr fontId="18"/>
  </si>
  <si>
    <t>DIPスイッチ</t>
    <phoneticPr fontId="18"/>
  </si>
  <si>
    <t>XT30オス</t>
    <phoneticPr fontId="18"/>
  </si>
  <si>
    <t>XT60オス</t>
    <phoneticPr fontId="18"/>
  </si>
  <si>
    <t>ポケットヘッダ5ピン</t>
    <phoneticPr fontId="18"/>
  </si>
  <si>
    <t>ポケットヘッダ5ピン5ピン</t>
    <phoneticPr fontId="18"/>
  </si>
  <si>
    <t>XT60メス</t>
    <phoneticPr fontId="18"/>
  </si>
  <si>
    <t>ピンソケット2x6ピン</t>
    <phoneticPr fontId="18"/>
  </si>
  <si>
    <t>ピンヘッダ8ピン</t>
    <phoneticPr fontId="18"/>
  </si>
  <si>
    <t>XH5ピン</t>
    <phoneticPr fontId="18"/>
  </si>
  <si>
    <t>NchMOSFET</t>
    <phoneticPr fontId="18"/>
  </si>
  <si>
    <t>抵抗</t>
    <rPh sb="0" eb="2">
      <t>テイコウ</t>
    </rPh>
    <phoneticPr fontId="18"/>
  </si>
  <si>
    <t>タクトスイッチ</t>
    <phoneticPr fontId="18"/>
  </si>
  <si>
    <t>3端子</t>
    <rPh sb="1" eb="3">
      <t>タンシ</t>
    </rPh>
    <phoneticPr fontId="18"/>
  </si>
  <si>
    <t>マイコン</t>
    <phoneticPr fontId="18"/>
  </si>
  <si>
    <t>デジタルアイソレータ</t>
    <phoneticPr fontId="18"/>
  </si>
  <si>
    <t>インバータ</t>
    <phoneticPr fontId="18"/>
  </si>
  <si>
    <t>AND回路</t>
    <rPh sb="3" eb="5">
      <t>カイロ</t>
    </rPh>
    <phoneticPr fontId="18"/>
  </si>
  <si>
    <t>ゲートドライバ</t>
    <phoneticPr fontId="18"/>
  </si>
  <si>
    <t>タイマーIC</t>
    <phoneticPr fontId="18"/>
  </si>
  <si>
    <t>RS-485ドライバ</t>
    <phoneticPr fontId="18"/>
  </si>
  <si>
    <t>SOD-123</t>
    <phoneticPr fontId="18"/>
  </si>
  <si>
    <t>8-SOP Advance (5x5.75)</t>
    <phoneticPr fontId="18"/>
  </si>
  <si>
    <t>TO-252-2</t>
    <phoneticPr fontId="18"/>
  </si>
  <si>
    <t>LQFP-32</t>
    <phoneticPr fontId="18"/>
  </si>
  <si>
    <t>SOIC-16</t>
    <phoneticPr fontId="18"/>
  </si>
  <si>
    <t>SOT-23-5</t>
    <phoneticPr fontId="18"/>
  </si>
  <si>
    <t>SOIC-8</t>
    <phoneticPr fontId="18"/>
  </si>
  <si>
    <t>SOP-8</t>
    <phoneticPr fontId="18"/>
  </si>
  <si>
    <t>部室</t>
    <rPh sb="0" eb="2">
      <t>ブシツ</t>
    </rPh>
    <phoneticPr fontId="18"/>
  </si>
  <si>
    <t>秋月</t>
    <rPh sb="0" eb="2">
      <t>アキヅキ</t>
    </rPh>
    <phoneticPr fontId="18"/>
  </si>
  <si>
    <t>Digikey</t>
    <phoneticPr fontId="18"/>
  </si>
  <si>
    <t>108216と108214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</si>
</sst>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943A-CAFC-410C-A82A-711F9344DC31}">
  <dimension ref="A2:L49"/>
  <sheetViews>
    <sheetView tabSelected="1" topLeftCell="D22" workbookViewId="0">
      <selection activeCell="J37" sqref="J37"/>
    </sheetView>
  </sheetViews>
  <sheetFormatPr defaultRowHeight="17.649999999999999" x14ac:dyDescent="0.7"/>
  <cols>
    <col min="3" max="3" width="18" customWidth="1"/>
    <col min="4" max="4" width="29.25" bestFit="1" customWidth="1"/>
    <col min="5" max="5" width="10.8125" customWidth="1"/>
  </cols>
  <sheetData>
    <row r="2" spans="1:12" x14ac:dyDescent="0.7">
      <c r="A2" t="s">
        <v>89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 t="s">
        <v>97</v>
      </c>
      <c r="J2" t="s">
        <v>98</v>
      </c>
      <c r="K2" t="s">
        <v>100</v>
      </c>
      <c r="L2" t="s">
        <v>99</v>
      </c>
    </row>
    <row r="3" spans="1:12" x14ac:dyDescent="0.7">
      <c r="A3">
        <v>1</v>
      </c>
      <c r="B3">
        <v>47</v>
      </c>
      <c r="C3" t="s">
        <v>0</v>
      </c>
      <c r="D3" t="s">
        <v>1</v>
      </c>
      <c r="E3" t="s">
        <v>101</v>
      </c>
      <c r="F3">
        <v>1608</v>
      </c>
      <c r="H3">
        <f>B3</f>
        <v>47</v>
      </c>
      <c r="I3">
        <f>G3*H3</f>
        <v>0</v>
      </c>
      <c r="J3" t="s">
        <v>134</v>
      </c>
    </row>
    <row r="4" spans="1:12" x14ac:dyDescent="0.7">
      <c r="A4">
        <v>2</v>
      </c>
      <c r="B4">
        <v>3</v>
      </c>
      <c r="C4" t="s">
        <v>2</v>
      </c>
      <c r="D4" t="s">
        <v>3</v>
      </c>
      <c r="E4" t="s">
        <v>102</v>
      </c>
      <c r="H4">
        <f t="shared" ref="H4:H48" si="0">B4</f>
        <v>3</v>
      </c>
      <c r="I4">
        <f t="shared" ref="I4:I48" si="1">G4*H4</f>
        <v>0</v>
      </c>
      <c r="J4" t="s">
        <v>134</v>
      </c>
    </row>
    <row r="5" spans="1:12" x14ac:dyDescent="0.7">
      <c r="A5">
        <v>3</v>
      </c>
      <c r="B5">
        <v>2</v>
      </c>
      <c r="C5" t="s">
        <v>4</v>
      </c>
      <c r="D5" t="s">
        <v>5</v>
      </c>
      <c r="E5" t="s">
        <v>102</v>
      </c>
      <c r="H5">
        <f t="shared" si="0"/>
        <v>2</v>
      </c>
      <c r="I5">
        <f t="shared" si="1"/>
        <v>0</v>
      </c>
      <c r="J5" t="s">
        <v>134</v>
      </c>
    </row>
    <row r="6" spans="1:12" x14ac:dyDescent="0.7">
      <c r="A6">
        <v>4</v>
      </c>
      <c r="B6">
        <v>1</v>
      </c>
      <c r="C6" t="s">
        <v>6</v>
      </c>
      <c r="D6" t="s">
        <v>7</v>
      </c>
      <c r="E6" t="s">
        <v>102</v>
      </c>
      <c r="H6">
        <f t="shared" si="0"/>
        <v>1</v>
      </c>
      <c r="I6">
        <f t="shared" si="1"/>
        <v>0</v>
      </c>
      <c r="J6" t="s">
        <v>134</v>
      </c>
    </row>
    <row r="7" spans="1:12" x14ac:dyDescent="0.7">
      <c r="A7">
        <v>5</v>
      </c>
      <c r="B7">
        <v>24</v>
      </c>
      <c r="C7" t="s">
        <v>8</v>
      </c>
      <c r="D7" t="s">
        <v>9</v>
      </c>
      <c r="E7" t="s">
        <v>101</v>
      </c>
      <c r="F7">
        <v>1608</v>
      </c>
      <c r="G7">
        <v>10</v>
      </c>
      <c r="H7">
        <f t="shared" si="0"/>
        <v>24</v>
      </c>
      <c r="I7">
        <f t="shared" si="1"/>
        <v>240</v>
      </c>
      <c r="J7" t="s">
        <v>135</v>
      </c>
      <c r="K7">
        <v>116994</v>
      </c>
    </row>
    <row r="8" spans="1:12" x14ac:dyDescent="0.7">
      <c r="A8">
        <v>6</v>
      </c>
      <c r="B8">
        <v>6</v>
      </c>
      <c r="C8" t="s">
        <v>10</v>
      </c>
      <c r="D8" t="s">
        <v>11</v>
      </c>
      <c r="E8" t="s">
        <v>101</v>
      </c>
      <c r="F8">
        <v>1608</v>
      </c>
      <c r="G8">
        <v>10</v>
      </c>
      <c r="H8">
        <f t="shared" si="0"/>
        <v>6</v>
      </c>
      <c r="I8">
        <f>G8*H8</f>
        <v>60</v>
      </c>
      <c r="J8" t="s">
        <v>135</v>
      </c>
      <c r="K8">
        <v>114556</v>
      </c>
    </row>
    <row r="9" spans="1:12" x14ac:dyDescent="0.7">
      <c r="A9">
        <v>7</v>
      </c>
      <c r="B9">
        <v>1</v>
      </c>
      <c r="C9" t="s">
        <v>12</v>
      </c>
      <c r="D9" t="s">
        <v>13</v>
      </c>
      <c r="E9" t="s">
        <v>101</v>
      </c>
      <c r="F9">
        <v>1608</v>
      </c>
      <c r="H9">
        <f t="shared" si="0"/>
        <v>1</v>
      </c>
      <c r="I9">
        <f t="shared" si="1"/>
        <v>0</v>
      </c>
      <c r="J9" t="s">
        <v>134</v>
      </c>
    </row>
    <row r="10" spans="1:12" x14ac:dyDescent="0.7">
      <c r="A10">
        <v>8</v>
      </c>
      <c r="B10">
        <v>62</v>
      </c>
      <c r="C10" t="s">
        <v>14</v>
      </c>
      <c r="D10" t="s">
        <v>15</v>
      </c>
      <c r="E10" t="s">
        <v>103</v>
      </c>
      <c r="F10" t="s">
        <v>126</v>
      </c>
      <c r="G10">
        <v>4</v>
      </c>
      <c r="H10">
        <f t="shared" si="0"/>
        <v>62</v>
      </c>
      <c r="I10">
        <f>G10*H10</f>
        <v>248</v>
      </c>
      <c r="J10" t="s">
        <v>135</v>
      </c>
      <c r="K10">
        <v>116985</v>
      </c>
    </row>
    <row r="11" spans="1:12" x14ac:dyDescent="0.7">
      <c r="A11">
        <v>9</v>
      </c>
      <c r="B11">
        <v>7</v>
      </c>
      <c r="C11" t="s">
        <v>16</v>
      </c>
      <c r="D11" t="s">
        <v>17</v>
      </c>
      <c r="E11" t="s">
        <v>104</v>
      </c>
      <c r="F11">
        <v>1608</v>
      </c>
      <c r="H11">
        <f t="shared" si="0"/>
        <v>7</v>
      </c>
      <c r="I11">
        <f t="shared" si="1"/>
        <v>0</v>
      </c>
      <c r="J11" t="s">
        <v>135</v>
      </c>
    </row>
    <row r="12" spans="1:12" x14ac:dyDescent="0.7">
      <c r="A12">
        <v>10</v>
      </c>
      <c r="B12">
        <v>3</v>
      </c>
      <c r="C12" t="s">
        <v>18</v>
      </c>
      <c r="D12" t="s">
        <v>19</v>
      </c>
      <c r="E12" t="s">
        <v>104</v>
      </c>
      <c r="F12">
        <v>1608</v>
      </c>
      <c r="H12">
        <f t="shared" si="0"/>
        <v>3</v>
      </c>
      <c r="I12">
        <f t="shared" si="1"/>
        <v>0</v>
      </c>
      <c r="J12" t="s">
        <v>135</v>
      </c>
    </row>
    <row r="13" spans="1:12" x14ac:dyDescent="0.7">
      <c r="A13">
        <v>11</v>
      </c>
      <c r="B13">
        <v>3</v>
      </c>
      <c r="C13" t="s">
        <v>20</v>
      </c>
      <c r="D13" t="s">
        <v>21</v>
      </c>
      <c r="E13" t="s">
        <v>104</v>
      </c>
      <c r="F13">
        <v>1608</v>
      </c>
      <c r="H13">
        <f t="shared" si="0"/>
        <v>3</v>
      </c>
      <c r="I13">
        <f t="shared" si="1"/>
        <v>0</v>
      </c>
      <c r="J13" t="s">
        <v>134</v>
      </c>
    </row>
    <row r="14" spans="1:12" x14ac:dyDescent="0.7">
      <c r="A14">
        <v>12</v>
      </c>
      <c r="B14">
        <v>1</v>
      </c>
      <c r="C14" t="s">
        <v>22</v>
      </c>
      <c r="D14" t="s">
        <v>23</v>
      </c>
      <c r="E14" t="s">
        <v>105</v>
      </c>
      <c r="H14">
        <f t="shared" si="0"/>
        <v>1</v>
      </c>
      <c r="I14">
        <f t="shared" si="1"/>
        <v>0</v>
      </c>
      <c r="J14" t="s">
        <v>134</v>
      </c>
    </row>
    <row r="15" spans="1:12" x14ac:dyDescent="0.7">
      <c r="A15">
        <v>13</v>
      </c>
      <c r="B15">
        <v>1</v>
      </c>
      <c r="C15" t="s">
        <v>24</v>
      </c>
      <c r="D15" t="s">
        <v>25</v>
      </c>
      <c r="E15" t="s">
        <v>106</v>
      </c>
      <c r="G15">
        <v>70</v>
      </c>
      <c r="H15">
        <f t="shared" si="0"/>
        <v>1</v>
      </c>
      <c r="I15">
        <f t="shared" si="1"/>
        <v>70</v>
      </c>
      <c r="J15" t="s">
        <v>135</v>
      </c>
      <c r="K15">
        <v>116584</v>
      </c>
    </row>
    <row r="16" spans="1:12" x14ac:dyDescent="0.7">
      <c r="A16">
        <v>14</v>
      </c>
      <c r="B16">
        <v>1</v>
      </c>
      <c r="C16" t="s">
        <v>26</v>
      </c>
      <c r="D16" t="s">
        <v>27</v>
      </c>
      <c r="E16" t="s">
        <v>107</v>
      </c>
      <c r="G16">
        <v>70</v>
      </c>
      <c r="H16">
        <f t="shared" si="0"/>
        <v>1</v>
      </c>
      <c r="I16">
        <f t="shared" si="1"/>
        <v>70</v>
      </c>
      <c r="J16" t="s">
        <v>135</v>
      </c>
      <c r="K16">
        <v>117949</v>
      </c>
    </row>
    <row r="17" spans="1:11" x14ac:dyDescent="0.7">
      <c r="A17">
        <v>15</v>
      </c>
      <c r="B17">
        <v>1</v>
      </c>
      <c r="C17" t="s">
        <v>28</v>
      </c>
      <c r="D17" t="s">
        <v>29</v>
      </c>
      <c r="E17" t="s">
        <v>108</v>
      </c>
      <c r="H17">
        <f t="shared" si="0"/>
        <v>1</v>
      </c>
      <c r="I17">
        <f t="shared" si="1"/>
        <v>0</v>
      </c>
      <c r="J17" t="s">
        <v>134</v>
      </c>
    </row>
    <row r="18" spans="1:11" x14ac:dyDescent="0.7">
      <c r="A18">
        <v>16</v>
      </c>
      <c r="B18">
        <v>1</v>
      </c>
      <c r="C18" t="s">
        <v>30</v>
      </c>
      <c r="D18" t="s">
        <v>31</v>
      </c>
      <c r="E18" t="s">
        <v>109</v>
      </c>
      <c r="H18">
        <f t="shared" si="0"/>
        <v>1</v>
      </c>
      <c r="I18">
        <f t="shared" si="1"/>
        <v>0</v>
      </c>
      <c r="J18" t="s">
        <v>134</v>
      </c>
    </row>
    <row r="19" spans="1:11" x14ac:dyDescent="0.7">
      <c r="A19">
        <v>17</v>
      </c>
      <c r="B19">
        <v>1</v>
      </c>
      <c r="C19" t="s">
        <v>32</v>
      </c>
      <c r="D19" t="s">
        <v>33</v>
      </c>
      <c r="E19" t="s">
        <v>110</v>
      </c>
      <c r="H19">
        <f t="shared" si="0"/>
        <v>1</v>
      </c>
      <c r="I19">
        <f t="shared" si="1"/>
        <v>0</v>
      </c>
      <c r="J19" t="s">
        <v>134</v>
      </c>
    </row>
    <row r="20" spans="1:11" x14ac:dyDescent="0.7">
      <c r="A20">
        <v>18</v>
      </c>
      <c r="B20">
        <v>1</v>
      </c>
      <c r="C20" t="s">
        <v>34</v>
      </c>
      <c r="D20" t="s">
        <v>35</v>
      </c>
      <c r="E20" t="s">
        <v>109</v>
      </c>
      <c r="H20">
        <f t="shared" si="0"/>
        <v>1</v>
      </c>
      <c r="I20">
        <f t="shared" si="1"/>
        <v>0</v>
      </c>
      <c r="J20" t="s">
        <v>134</v>
      </c>
    </row>
    <row r="21" spans="1:11" x14ac:dyDescent="0.7">
      <c r="A21">
        <v>19</v>
      </c>
      <c r="B21">
        <v>1</v>
      </c>
      <c r="C21" t="s">
        <v>36</v>
      </c>
      <c r="D21" t="s">
        <v>37</v>
      </c>
      <c r="E21" t="s">
        <v>111</v>
      </c>
      <c r="H21">
        <f t="shared" si="0"/>
        <v>1</v>
      </c>
      <c r="I21">
        <f t="shared" si="1"/>
        <v>0</v>
      </c>
      <c r="J21" t="s">
        <v>134</v>
      </c>
    </row>
    <row r="22" spans="1:11" x14ac:dyDescent="0.7">
      <c r="A22">
        <v>20</v>
      </c>
      <c r="B22">
        <v>1</v>
      </c>
      <c r="C22" t="s">
        <v>38</v>
      </c>
      <c r="D22" t="s">
        <v>39</v>
      </c>
      <c r="E22" t="s">
        <v>111</v>
      </c>
      <c r="H22">
        <f t="shared" si="0"/>
        <v>1</v>
      </c>
      <c r="I22">
        <f t="shared" si="1"/>
        <v>0</v>
      </c>
      <c r="J22" t="s">
        <v>134</v>
      </c>
    </row>
    <row r="23" spans="1:11" x14ac:dyDescent="0.7">
      <c r="A23">
        <v>21</v>
      </c>
      <c r="B23">
        <v>1</v>
      </c>
      <c r="C23" t="s">
        <v>40</v>
      </c>
      <c r="D23" t="s">
        <v>41</v>
      </c>
      <c r="E23" t="s">
        <v>111</v>
      </c>
      <c r="H23">
        <f t="shared" si="0"/>
        <v>1</v>
      </c>
      <c r="I23">
        <f t="shared" si="1"/>
        <v>0</v>
      </c>
      <c r="J23" t="s">
        <v>134</v>
      </c>
    </row>
    <row r="24" spans="1:11" x14ac:dyDescent="0.7">
      <c r="A24">
        <v>22</v>
      </c>
      <c r="B24">
        <v>1</v>
      </c>
      <c r="C24" t="s">
        <v>42</v>
      </c>
      <c r="D24" t="s">
        <v>43</v>
      </c>
      <c r="E24" t="s">
        <v>112</v>
      </c>
      <c r="H24">
        <f t="shared" si="0"/>
        <v>1</v>
      </c>
      <c r="I24">
        <f t="shared" si="1"/>
        <v>0</v>
      </c>
      <c r="J24" t="s">
        <v>134</v>
      </c>
    </row>
    <row r="25" spans="1:11" x14ac:dyDescent="0.7">
      <c r="A25">
        <v>23</v>
      </c>
      <c r="B25">
        <v>1</v>
      </c>
      <c r="C25" t="s">
        <v>44</v>
      </c>
      <c r="D25" t="s">
        <v>45</v>
      </c>
      <c r="E25" t="s">
        <v>113</v>
      </c>
      <c r="H25">
        <f t="shared" si="0"/>
        <v>1</v>
      </c>
      <c r="I25">
        <f t="shared" si="1"/>
        <v>0</v>
      </c>
      <c r="J25" t="s">
        <v>134</v>
      </c>
    </row>
    <row r="26" spans="1:11" x14ac:dyDescent="0.7">
      <c r="A26">
        <v>24</v>
      </c>
      <c r="B26">
        <v>1</v>
      </c>
      <c r="C26" t="s">
        <v>46</v>
      </c>
      <c r="D26" t="s">
        <v>47</v>
      </c>
      <c r="E26" t="s">
        <v>114</v>
      </c>
      <c r="G26">
        <v>15</v>
      </c>
      <c r="H26">
        <f t="shared" si="0"/>
        <v>1</v>
      </c>
      <c r="I26">
        <f t="shared" si="1"/>
        <v>15</v>
      </c>
      <c r="J26" t="s">
        <v>135</v>
      </c>
      <c r="K26">
        <v>112428</v>
      </c>
    </row>
    <row r="27" spans="1:11" x14ac:dyDescent="0.7">
      <c r="A27">
        <v>25</v>
      </c>
      <c r="B27">
        <v>12</v>
      </c>
      <c r="C27" t="s">
        <v>48</v>
      </c>
      <c r="D27" t="s">
        <v>49</v>
      </c>
      <c r="E27" t="s">
        <v>115</v>
      </c>
      <c r="F27" t="s">
        <v>127</v>
      </c>
      <c r="G27">
        <v>192</v>
      </c>
      <c r="H27">
        <f t="shared" si="0"/>
        <v>12</v>
      </c>
      <c r="I27">
        <f t="shared" si="1"/>
        <v>2304</v>
      </c>
      <c r="J27" t="s">
        <v>136</v>
      </c>
    </row>
    <row r="28" spans="1:11" x14ac:dyDescent="0.7">
      <c r="A28">
        <v>26</v>
      </c>
      <c r="B28">
        <v>27</v>
      </c>
      <c r="C28" t="s">
        <v>50</v>
      </c>
      <c r="D28" t="s">
        <v>51</v>
      </c>
      <c r="E28" t="s">
        <v>116</v>
      </c>
      <c r="F28">
        <v>1608</v>
      </c>
      <c r="H28">
        <f t="shared" si="0"/>
        <v>27</v>
      </c>
      <c r="I28">
        <f t="shared" si="1"/>
        <v>0</v>
      </c>
      <c r="J28" t="s">
        <v>134</v>
      </c>
    </row>
    <row r="29" spans="1:11" x14ac:dyDescent="0.7">
      <c r="A29">
        <v>27</v>
      </c>
      <c r="B29">
        <v>4</v>
      </c>
      <c r="C29" t="s">
        <v>52</v>
      </c>
      <c r="D29" t="s">
        <v>53</v>
      </c>
      <c r="E29" t="s">
        <v>116</v>
      </c>
      <c r="F29">
        <v>1608</v>
      </c>
      <c r="H29">
        <f t="shared" si="0"/>
        <v>4</v>
      </c>
      <c r="I29">
        <f t="shared" si="1"/>
        <v>0</v>
      </c>
      <c r="J29" t="s">
        <v>134</v>
      </c>
    </row>
    <row r="30" spans="1:11" x14ac:dyDescent="0.7">
      <c r="A30">
        <v>28</v>
      </c>
      <c r="B30">
        <v>5</v>
      </c>
      <c r="C30" t="s">
        <v>54</v>
      </c>
      <c r="D30" t="s">
        <v>55</v>
      </c>
      <c r="E30" t="s">
        <v>116</v>
      </c>
      <c r="F30">
        <v>1608</v>
      </c>
      <c r="H30">
        <f t="shared" si="0"/>
        <v>5</v>
      </c>
      <c r="I30">
        <f t="shared" si="1"/>
        <v>0</v>
      </c>
      <c r="J30" t="s">
        <v>134</v>
      </c>
    </row>
    <row r="31" spans="1:11" x14ac:dyDescent="0.7">
      <c r="A31">
        <v>29</v>
      </c>
      <c r="B31">
        <v>24</v>
      </c>
      <c r="C31" t="s">
        <v>56</v>
      </c>
      <c r="D31">
        <v>47</v>
      </c>
      <c r="E31" t="s">
        <v>116</v>
      </c>
      <c r="F31">
        <v>1608</v>
      </c>
      <c r="H31">
        <f t="shared" si="0"/>
        <v>24</v>
      </c>
      <c r="I31">
        <f t="shared" si="1"/>
        <v>0</v>
      </c>
      <c r="J31" t="s">
        <v>134</v>
      </c>
    </row>
    <row r="32" spans="1:11" x14ac:dyDescent="0.7">
      <c r="A32">
        <v>30</v>
      </c>
      <c r="B32">
        <v>12</v>
      </c>
      <c r="C32" t="s">
        <v>57</v>
      </c>
      <c r="D32" t="s">
        <v>58</v>
      </c>
      <c r="E32" t="s">
        <v>116</v>
      </c>
      <c r="F32">
        <v>1608</v>
      </c>
      <c r="H32">
        <f t="shared" si="0"/>
        <v>12</v>
      </c>
      <c r="I32">
        <f t="shared" si="1"/>
        <v>0</v>
      </c>
      <c r="J32" t="s">
        <v>134</v>
      </c>
    </row>
    <row r="33" spans="1:11" x14ac:dyDescent="0.7">
      <c r="A33">
        <v>31</v>
      </c>
      <c r="B33">
        <v>5</v>
      </c>
      <c r="C33" t="s">
        <v>59</v>
      </c>
      <c r="D33">
        <v>120</v>
      </c>
      <c r="E33" t="s">
        <v>116</v>
      </c>
      <c r="F33">
        <v>1608</v>
      </c>
      <c r="H33">
        <f t="shared" si="0"/>
        <v>5</v>
      </c>
      <c r="I33">
        <f t="shared" si="1"/>
        <v>0</v>
      </c>
      <c r="J33" t="s">
        <v>134</v>
      </c>
    </row>
    <row r="34" spans="1:11" x14ac:dyDescent="0.7">
      <c r="A34">
        <v>32</v>
      </c>
      <c r="B34">
        <v>2</v>
      </c>
      <c r="C34" t="s">
        <v>60</v>
      </c>
      <c r="D34">
        <v>240</v>
      </c>
      <c r="E34" t="s">
        <v>116</v>
      </c>
      <c r="F34">
        <v>1608</v>
      </c>
      <c r="H34">
        <f t="shared" si="0"/>
        <v>2</v>
      </c>
      <c r="I34">
        <f t="shared" si="1"/>
        <v>0</v>
      </c>
      <c r="J34" t="s">
        <v>134</v>
      </c>
    </row>
    <row r="35" spans="1:11" x14ac:dyDescent="0.7">
      <c r="A35">
        <v>33</v>
      </c>
      <c r="B35">
        <v>4</v>
      </c>
      <c r="C35" t="s">
        <v>61</v>
      </c>
      <c r="D35" t="s">
        <v>62</v>
      </c>
      <c r="E35" t="s">
        <v>116</v>
      </c>
      <c r="F35">
        <v>1608</v>
      </c>
      <c r="H35">
        <f t="shared" si="0"/>
        <v>4</v>
      </c>
      <c r="I35">
        <f t="shared" si="1"/>
        <v>0</v>
      </c>
      <c r="J35" t="s">
        <v>134</v>
      </c>
    </row>
    <row r="36" spans="1:11" x14ac:dyDescent="0.7">
      <c r="A36">
        <v>34</v>
      </c>
      <c r="B36">
        <v>2</v>
      </c>
      <c r="C36" t="s">
        <v>63</v>
      </c>
      <c r="D36" t="s">
        <v>64</v>
      </c>
      <c r="E36" t="s">
        <v>117</v>
      </c>
      <c r="H36">
        <f t="shared" si="0"/>
        <v>2</v>
      </c>
      <c r="I36">
        <f t="shared" si="1"/>
        <v>0</v>
      </c>
      <c r="J36" t="s">
        <v>135</v>
      </c>
    </row>
    <row r="37" spans="1:11" x14ac:dyDescent="0.7">
      <c r="A37">
        <v>35</v>
      </c>
      <c r="B37">
        <v>3</v>
      </c>
      <c r="C37" t="s">
        <v>65</v>
      </c>
      <c r="D37" t="s">
        <v>66</v>
      </c>
      <c r="E37" t="s">
        <v>117</v>
      </c>
      <c r="H37">
        <f t="shared" si="0"/>
        <v>3</v>
      </c>
      <c r="I37">
        <f t="shared" si="1"/>
        <v>0</v>
      </c>
      <c r="J37" t="s">
        <v>137</v>
      </c>
    </row>
    <row r="38" spans="1:11" x14ac:dyDescent="0.7">
      <c r="A38">
        <v>36</v>
      </c>
      <c r="B38">
        <v>3</v>
      </c>
      <c r="C38" t="s">
        <v>67</v>
      </c>
      <c r="D38" t="s">
        <v>68</v>
      </c>
      <c r="E38" t="s">
        <v>117</v>
      </c>
      <c r="H38">
        <f t="shared" si="0"/>
        <v>3</v>
      </c>
      <c r="I38">
        <f t="shared" si="1"/>
        <v>0</v>
      </c>
      <c r="J38">
        <v>108073</v>
      </c>
    </row>
    <row r="39" spans="1:11" x14ac:dyDescent="0.7">
      <c r="A39">
        <v>37</v>
      </c>
      <c r="B39">
        <v>1</v>
      </c>
      <c r="C39" t="s">
        <v>69</v>
      </c>
      <c r="D39" t="s">
        <v>70</v>
      </c>
      <c r="E39" t="s">
        <v>118</v>
      </c>
      <c r="F39" t="s">
        <v>128</v>
      </c>
      <c r="H39">
        <f t="shared" si="0"/>
        <v>1</v>
      </c>
      <c r="I39">
        <f t="shared" si="1"/>
        <v>0</v>
      </c>
      <c r="J39">
        <v>110977</v>
      </c>
    </row>
    <row r="40" spans="1:11" x14ac:dyDescent="0.7">
      <c r="A40">
        <v>38</v>
      </c>
      <c r="B40">
        <v>2</v>
      </c>
      <c r="C40" t="s">
        <v>71</v>
      </c>
      <c r="D40" t="s">
        <v>72</v>
      </c>
      <c r="E40" t="s">
        <v>118</v>
      </c>
      <c r="F40" t="s">
        <v>128</v>
      </c>
      <c r="H40">
        <f t="shared" si="0"/>
        <v>2</v>
      </c>
      <c r="I40">
        <f t="shared" si="1"/>
        <v>0</v>
      </c>
      <c r="J40" t="s">
        <v>134</v>
      </c>
    </row>
    <row r="41" spans="1:11" x14ac:dyDescent="0.7">
      <c r="A41">
        <v>39</v>
      </c>
      <c r="B41">
        <v>1</v>
      </c>
      <c r="C41" t="s">
        <v>73</v>
      </c>
      <c r="D41" t="s">
        <v>74</v>
      </c>
      <c r="E41" t="s">
        <v>119</v>
      </c>
      <c r="F41" t="s">
        <v>129</v>
      </c>
      <c r="H41">
        <f t="shared" si="0"/>
        <v>1</v>
      </c>
      <c r="I41">
        <f t="shared" si="1"/>
        <v>0</v>
      </c>
      <c r="J41" t="s">
        <v>134</v>
      </c>
    </row>
    <row r="42" spans="1:11" x14ac:dyDescent="0.7">
      <c r="A42">
        <v>40</v>
      </c>
      <c r="B42">
        <v>1</v>
      </c>
      <c r="C42" t="s">
        <v>75</v>
      </c>
      <c r="D42" t="s">
        <v>76</v>
      </c>
      <c r="E42" t="s">
        <v>118</v>
      </c>
      <c r="F42" t="s">
        <v>128</v>
      </c>
      <c r="H42">
        <f t="shared" si="0"/>
        <v>1</v>
      </c>
      <c r="I42">
        <f t="shared" si="1"/>
        <v>0</v>
      </c>
      <c r="J42" t="s">
        <v>134</v>
      </c>
    </row>
    <row r="43" spans="1:11" x14ac:dyDescent="0.7">
      <c r="A43">
        <v>41</v>
      </c>
      <c r="B43">
        <v>1</v>
      </c>
      <c r="C43" t="s">
        <v>77</v>
      </c>
      <c r="D43" t="s">
        <v>78</v>
      </c>
      <c r="E43" t="s">
        <v>120</v>
      </c>
      <c r="F43" t="s">
        <v>130</v>
      </c>
      <c r="H43">
        <f t="shared" si="0"/>
        <v>1</v>
      </c>
      <c r="I43">
        <f t="shared" si="1"/>
        <v>0</v>
      </c>
      <c r="J43" t="s">
        <v>134</v>
      </c>
    </row>
    <row r="44" spans="1:11" x14ac:dyDescent="0.7">
      <c r="A44">
        <v>42</v>
      </c>
      <c r="B44">
        <v>3</v>
      </c>
      <c r="C44" t="s">
        <v>79</v>
      </c>
      <c r="D44" t="s">
        <v>80</v>
      </c>
      <c r="E44" t="s">
        <v>121</v>
      </c>
      <c r="F44" t="s">
        <v>131</v>
      </c>
      <c r="H44">
        <f t="shared" si="0"/>
        <v>3</v>
      </c>
      <c r="I44">
        <f t="shared" si="1"/>
        <v>0</v>
      </c>
      <c r="J44" t="s">
        <v>134</v>
      </c>
      <c r="K44">
        <v>117602</v>
      </c>
    </row>
    <row r="45" spans="1:11" x14ac:dyDescent="0.7">
      <c r="A45">
        <v>43</v>
      </c>
      <c r="B45">
        <v>6</v>
      </c>
      <c r="C45" t="s">
        <v>81</v>
      </c>
      <c r="D45" t="s">
        <v>82</v>
      </c>
      <c r="E45" t="s">
        <v>122</v>
      </c>
      <c r="F45" t="s">
        <v>131</v>
      </c>
      <c r="H45">
        <f t="shared" si="0"/>
        <v>6</v>
      </c>
      <c r="I45">
        <f t="shared" si="1"/>
        <v>0</v>
      </c>
      <c r="J45" t="s">
        <v>135</v>
      </c>
      <c r="K45">
        <v>117603</v>
      </c>
    </row>
    <row r="46" spans="1:11" x14ac:dyDescent="0.7">
      <c r="A46">
        <v>44</v>
      </c>
      <c r="B46">
        <v>6</v>
      </c>
      <c r="C46" t="s">
        <v>83</v>
      </c>
      <c r="D46" t="s">
        <v>84</v>
      </c>
      <c r="E46" t="s">
        <v>123</v>
      </c>
      <c r="F46" t="s">
        <v>132</v>
      </c>
      <c r="G46">
        <v>260</v>
      </c>
      <c r="H46">
        <f t="shared" si="0"/>
        <v>6</v>
      </c>
      <c r="I46">
        <f t="shared" si="1"/>
        <v>1560</v>
      </c>
      <c r="J46" t="s">
        <v>135</v>
      </c>
      <c r="K46">
        <v>115656</v>
      </c>
    </row>
    <row r="47" spans="1:11" x14ac:dyDescent="0.7">
      <c r="A47">
        <v>45</v>
      </c>
      <c r="B47">
        <v>1</v>
      </c>
      <c r="C47" t="s">
        <v>85</v>
      </c>
      <c r="D47" t="s">
        <v>86</v>
      </c>
      <c r="E47" t="s">
        <v>124</v>
      </c>
      <c r="F47" t="s">
        <v>132</v>
      </c>
      <c r="G47">
        <v>30</v>
      </c>
      <c r="H47">
        <f t="shared" si="0"/>
        <v>1</v>
      </c>
      <c r="I47">
        <f t="shared" si="1"/>
        <v>30</v>
      </c>
      <c r="J47" t="s">
        <v>135</v>
      </c>
      <c r="K47">
        <v>116210</v>
      </c>
    </row>
    <row r="48" spans="1:11" x14ac:dyDescent="0.7">
      <c r="A48">
        <v>46</v>
      </c>
      <c r="B48">
        <v>2</v>
      </c>
      <c r="C48" t="s">
        <v>87</v>
      </c>
      <c r="D48" t="s">
        <v>88</v>
      </c>
      <c r="E48" t="s">
        <v>125</v>
      </c>
      <c r="F48" t="s">
        <v>133</v>
      </c>
      <c r="H48">
        <f t="shared" si="0"/>
        <v>2</v>
      </c>
      <c r="I48">
        <f t="shared" si="1"/>
        <v>0</v>
      </c>
      <c r="J48" t="s">
        <v>134</v>
      </c>
      <c r="K48">
        <v>116376</v>
      </c>
    </row>
    <row r="49" spans="9:9" x14ac:dyDescent="0.7">
      <c r="I49">
        <f>SUM(I3:I48)</f>
        <v>4597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MD_Stable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taishiikeya@keio.jp</cp:lastModifiedBy>
  <dcterms:created xsi:type="dcterms:W3CDTF">2025-11-28T04:14:06Z</dcterms:created>
  <dcterms:modified xsi:type="dcterms:W3CDTF">2025-11-28T05:02:18Z</dcterms:modified>
</cp:coreProperties>
</file>